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s/Desktop/"/>
    </mc:Choice>
  </mc:AlternateContent>
  <xr:revisionPtr revIDLastSave="0" documentId="13_ncr:1_{329F9DAB-970F-104D-8DA1-3B3DB1574082}" xr6:coauthVersionLast="47" xr6:coauthVersionMax="47" xr10:uidLastSave="{00000000-0000-0000-0000-000000000000}"/>
  <bookViews>
    <workbookView xWindow="80" yWindow="600" windowWidth="25440" windowHeight="15340" xr2:uid="{F34940ED-1E81-EF48-8508-A1D427C918E1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F3" i="1"/>
  <c r="F4" i="1"/>
  <c r="F5" i="1"/>
  <c r="F6" i="1"/>
  <c r="F7" i="1"/>
  <c r="F8" i="1"/>
  <c r="F9" i="1"/>
  <c r="F10" i="1"/>
  <c r="F11" i="1"/>
  <c r="F12" i="1"/>
  <c r="G2" i="1"/>
  <c r="F2" i="1"/>
</calcChain>
</file>

<file path=xl/sharedStrings.xml><?xml version="1.0" encoding="utf-8"?>
<sst xmlns="http://schemas.openxmlformats.org/spreadsheetml/2006/main" count="7" uniqueCount="7">
  <si>
    <t>Tamano de entrada (n)</t>
  </si>
  <si>
    <t>Busqueda Binaria Experimental (ns)</t>
  </si>
  <si>
    <t>MergeSort Experimental (ns)</t>
  </si>
  <si>
    <t>Búsqueda Binaria Teórica escalada</t>
  </si>
  <si>
    <t>MergeSort Teórico escalado</t>
  </si>
  <si>
    <t>Busqueda Binaria Teorica log2(n)</t>
  </si>
  <si>
    <t>MergeSort Teorico n*log2(n)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</si>
</sst>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Búsqueda Binaria: Experimental vs Teórica O(log 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resultados!$B$1</c:f>
              <c:strCache>
                <c:ptCount val="1"/>
                <c:pt idx="0">
                  <c:v>Busqueda Binaria Experimental (ns)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resultados!$A$2:$A$12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1000000</c:v>
                </c:pt>
              </c:numCache>
            </c:numRef>
          </c:xVal>
          <c:yVal>
            <c:numRef>
              <c:f>resultados!$B$2:$B$12</c:f>
              <c:numCache>
                <c:formatCode>General</c:formatCode>
                <c:ptCount val="11"/>
                <c:pt idx="0">
                  <c:v>231.398</c:v>
                </c:pt>
                <c:pt idx="1">
                  <c:v>184.28700000000001</c:v>
                </c:pt>
                <c:pt idx="2">
                  <c:v>170.25700000000001</c:v>
                </c:pt>
                <c:pt idx="3">
                  <c:v>157.39400000000001</c:v>
                </c:pt>
                <c:pt idx="4">
                  <c:v>149.42400000000001</c:v>
                </c:pt>
                <c:pt idx="5">
                  <c:v>144.74299999999999</c:v>
                </c:pt>
                <c:pt idx="6">
                  <c:v>148.352</c:v>
                </c:pt>
                <c:pt idx="7">
                  <c:v>183.768</c:v>
                </c:pt>
                <c:pt idx="8">
                  <c:v>182.53899999999999</c:v>
                </c:pt>
                <c:pt idx="9">
                  <c:v>192.12299999999999</c:v>
                </c:pt>
                <c:pt idx="10">
                  <c:v>193.53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C2-CF4E-96E3-7BF9E4B6DF38}"/>
            </c:ext>
          </c:extLst>
        </c:ser>
        <c:ser>
          <c:idx val="1"/>
          <c:order val="1"/>
          <c:tx>
            <c:strRef>
              <c:f>resultados!$F$1</c:f>
              <c:strCache>
                <c:ptCount val="1"/>
                <c:pt idx="0">
                  <c:v>Búsqueda Binaria Teórica escalada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resultados!$A$2:$A$12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1000000</c:v>
                </c:pt>
              </c:numCache>
            </c:numRef>
          </c:xVal>
          <c:yVal>
            <c:numRef>
              <c:f>resultados!$F$2:$F$12</c:f>
              <c:numCache>
                <c:formatCode>General</c:formatCode>
                <c:ptCount val="11"/>
                <c:pt idx="0">
                  <c:v>231.398</c:v>
                </c:pt>
                <c:pt idx="1">
                  <c:v>254.61772068016751</c:v>
                </c:pt>
                <c:pt idx="2">
                  <c:v>277.83697697520915</c:v>
                </c:pt>
                <c:pt idx="3">
                  <c:v>301.0562332702508</c:v>
                </c:pt>
                <c:pt idx="4">
                  <c:v>324.27548956529239</c:v>
                </c:pt>
                <c:pt idx="5">
                  <c:v>347.49474586033404</c:v>
                </c:pt>
                <c:pt idx="6">
                  <c:v>370.71400215537568</c:v>
                </c:pt>
                <c:pt idx="7">
                  <c:v>393.93325845041733</c:v>
                </c:pt>
                <c:pt idx="8">
                  <c:v>417.15251474545897</c:v>
                </c:pt>
                <c:pt idx="9">
                  <c:v>440.37177104050062</c:v>
                </c:pt>
                <c:pt idx="10">
                  <c:v>462.79692877025178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C2-CF4E-96E3-7BF9E4B6D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23775"/>
        <c:axId val="186912703"/>
      </c:scatterChart>
      <c:valAx>
        <c:axId val="20572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Tamaño del arreglo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86912703"/>
        <c:crosses val="autoZero"/>
        <c:crossBetween val="midCat"/>
      </c:valAx>
      <c:valAx>
        <c:axId val="18691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572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MergeSort:</a:t>
            </a:r>
            <a:r>
              <a:rPr lang="es-MX" baseline="0"/>
              <a:t> Experimental vs Teórico </a:t>
            </a:r>
            <a:r>
              <a:rPr lang="es-CR" sz="1400" b="0" i="0" u="none" strike="noStrike" baseline="0"/>
              <a:t>O(n log n)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resultados!$C$1</c:f>
              <c:strCache>
                <c:ptCount val="1"/>
                <c:pt idx="0">
                  <c:v>MergeSort Experimental (ns)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resultados!$A$2:$A$12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1000000</c:v>
                </c:pt>
              </c:numCache>
            </c:numRef>
          </c:xVal>
          <c:yVal>
            <c:numRef>
              <c:f>resultados!$C$2:$C$12</c:f>
              <c:numCache>
                <c:formatCode>General</c:formatCode>
                <c:ptCount val="11"/>
                <c:pt idx="0">
                  <c:v>250722</c:v>
                </c:pt>
                <c:pt idx="1">
                  <c:v>466486</c:v>
                </c:pt>
                <c:pt idx="2">
                  <c:v>809500</c:v>
                </c:pt>
                <c:pt idx="3" formatCode="0.00E+00">
                  <c:v>1522640</c:v>
                </c:pt>
                <c:pt idx="4" formatCode="0.00E+00">
                  <c:v>2939420</c:v>
                </c:pt>
                <c:pt idx="5" formatCode="0.00E+00">
                  <c:v>5925620</c:v>
                </c:pt>
                <c:pt idx="6" formatCode="0.00E+00">
                  <c:v>12305800</c:v>
                </c:pt>
                <c:pt idx="7" formatCode="0.00E+00">
                  <c:v>28270400</c:v>
                </c:pt>
                <c:pt idx="8" formatCode="0.00E+00">
                  <c:v>58949200</c:v>
                </c:pt>
                <c:pt idx="9" formatCode="0.00E+00">
                  <c:v>118686000</c:v>
                </c:pt>
                <c:pt idx="10" formatCode="0.00E+00">
                  <c:v>251224000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7E-2B4C-A3EB-692B38E3AACB}"/>
            </c:ext>
          </c:extLst>
        </c:ser>
        <c:ser>
          <c:idx val="1"/>
          <c:order val="1"/>
          <c:tx>
            <c:strRef>
              <c:f>resultados!$G$1</c:f>
              <c:strCache>
                <c:ptCount val="1"/>
                <c:pt idx="0">
                  <c:v>MergeSort Teórico escalado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resultados!$A$2:$A$12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1000000</c:v>
                </c:pt>
              </c:numCache>
            </c:numRef>
          </c:xVal>
          <c:yVal>
            <c:numRef>
              <c:f>resultados!$G$2:$G$12</c:f>
              <c:numCache>
                <c:formatCode>General</c:formatCode>
                <c:ptCount val="11"/>
                <c:pt idx="0">
                  <c:v>250722</c:v>
                </c:pt>
                <c:pt idx="1">
                  <c:v>551761.58967988449</c:v>
                </c:pt>
                <c:pt idx="2">
                  <c:v>1204153.8302270367</c:v>
                </c:pt>
                <c:pt idx="3">
                  <c:v>2609568.9621886094</c:v>
                </c:pt>
                <c:pt idx="4">
                  <c:v>5621695.7494546333</c:v>
                </c:pt>
                <c:pt idx="5">
                  <c:v>12048431.674189074</c:v>
                </c:pt>
                <c:pt idx="6">
                  <c:v>25706994.015521113</c:v>
                </c:pt>
                <c:pt idx="7">
                  <c:v>54634249.365328148</c:v>
                </c:pt>
                <c:pt idx="8">
                  <c:v>115709021.39922816</c:v>
                </c:pt>
                <c:pt idx="9">
                  <c:v>244299088.1356</c:v>
                </c:pt>
                <c:pt idx="10">
                  <c:v>501445006.33166695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7E-2B4C-A3EB-692B38E3A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744896"/>
        <c:axId val="2094757888"/>
      </c:scatterChart>
      <c:valAx>
        <c:axId val="209474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 sz="1000" b="0" i="0" u="none" strike="noStrike" baseline="0"/>
                  <a:t>Tamaño del arreglo (n)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94757888"/>
        <c:crosses val="autoZero"/>
        <c:crossBetween val="midCat"/>
      </c:valAx>
      <c:valAx>
        <c:axId val="209475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94744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143488</xdr:colOff>
      <xdr:row>12</xdr:row>
      <xdr:rowOff>169154</xdr:rowOff>
    </xdr:from>
    <xdr:to>
      <xdr:col>3</xdr:col>
      <xdr:colOff>1265812</xdr:colOff>
      <xdr:row>26</xdr:row>
      <xdr:rowOff>67554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7AA806-DC4B-D40E-58AD-5B94D17FA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103561</xdr:colOff>
      <xdr:row>12</xdr:row>
      <xdr:rowOff>171560</xdr:rowOff>
    </xdr:from>
    <xdr:to>
      <xdr:col>7</xdr:col>
      <xdr:colOff>529390</xdr:colOff>
      <xdr:row>26</xdr:row>
      <xdr:rowOff>69960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FDE1B7-778A-F0CF-B77F-0C736C476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4869-D5F7-304E-B434-1C2DCC404824}">
  <dimension ref="A1:G12"/>
  <sheetViews>
    <sheetView tabSelected="1" zoomScale="114" workbookViewId="0">
      <selection activeCell="I4" sqref="I4"/>
    </sheetView>
  </sheetViews>
  <sheetFormatPr baseColWidth="10" defaultRowHeight="16" x14ac:dyDescent="0.2"/>
  <cols>
    <col min="1" max="1" width="13.5" customWidth="1"/>
    <col min="2" max="7" width="18.1640625" customWidth="1"/>
    <col min="8" max="8" width="12" customWidth="1"/>
    <col min="10" max="10" width="46.83203125" customWidth="1"/>
  </cols>
  <sheetData>
    <row r="1" spans="1:7" s="3" customFormat="1" ht="34" x14ac:dyDescent="0.2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3</v>
      </c>
      <c r="G1" s="4" t="s">
        <v>4</v>
      </c>
    </row>
    <row r="2" spans="1:7" x14ac:dyDescent="0.2">
      <c r="A2" s="1">
        <v>1000</v>
      </c>
      <c r="B2" s="1">
        <v>231.398</v>
      </c>
      <c r="C2" s="1">
        <v>250722</v>
      </c>
      <c r="D2" s="1">
        <v>9.9657800000000005</v>
      </c>
      <c r="E2" s="1">
        <v>9965.7800000000007</v>
      </c>
      <c r="F2">
        <f>D2*($B$2/$D$2)</f>
        <v>231.398</v>
      </c>
      <c r="G2">
        <f>E2*($C$2/$E$2)</f>
        <v>250722</v>
      </c>
    </row>
    <row r="3" spans="1:7" x14ac:dyDescent="0.2">
      <c r="A3" s="1">
        <v>2000</v>
      </c>
      <c r="B3" s="1">
        <v>184.28700000000001</v>
      </c>
      <c r="C3" s="1">
        <v>466486</v>
      </c>
      <c r="D3" s="1">
        <v>10.9658</v>
      </c>
      <c r="E3" s="1">
        <v>21931.599999999999</v>
      </c>
      <c r="F3">
        <f t="shared" ref="F3:F12" si="0">D3*($B$2/$D$2)</f>
        <v>254.61772068016751</v>
      </c>
      <c r="G3">
        <f t="shared" ref="G3:G12" si="1">E3*($C$2/$E$2)</f>
        <v>551761.58967988449</v>
      </c>
    </row>
    <row r="4" spans="1:7" x14ac:dyDescent="0.2">
      <c r="A4" s="1">
        <v>4000</v>
      </c>
      <c r="B4" s="1">
        <v>170.25700000000001</v>
      </c>
      <c r="C4" s="1">
        <v>809500</v>
      </c>
      <c r="D4" s="1">
        <v>11.9658</v>
      </c>
      <c r="E4" s="1">
        <v>47863.1</v>
      </c>
      <c r="F4">
        <f t="shared" si="0"/>
        <v>277.83697697520915</v>
      </c>
      <c r="G4">
        <f t="shared" si="1"/>
        <v>1204153.8302270367</v>
      </c>
    </row>
    <row r="5" spans="1:7" x14ac:dyDescent="0.2">
      <c r="A5" s="1">
        <v>8000</v>
      </c>
      <c r="B5" s="1">
        <v>157.39400000000001</v>
      </c>
      <c r="C5" s="2">
        <v>1522640</v>
      </c>
      <c r="D5" s="1">
        <v>12.9658</v>
      </c>
      <c r="E5" s="1">
        <v>103726</v>
      </c>
      <c r="F5">
        <f t="shared" si="0"/>
        <v>301.0562332702508</v>
      </c>
      <c r="G5">
        <f t="shared" si="1"/>
        <v>2609568.9621886094</v>
      </c>
    </row>
    <row r="6" spans="1:7" x14ac:dyDescent="0.2">
      <c r="A6" s="1">
        <v>16000</v>
      </c>
      <c r="B6" s="1">
        <v>149.42400000000001</v>
      </c>
      <c r="C6" s="2">
        <v>2939420</v>
      </c>
      <c r="D6" s="1">
        <v>13.9658</v>
      </c>
      <c r="E6" s="1">
        <v>223453</v>
      </c>
      <c r="F6">
        <f t="shared" si="0"/>
        <v>324.27548956529239</v>
      </c>
      <c r="G6">
        <f t="shared" si="1"/>
        <v>5621695.7494546333</v>
      </c>
    </row>
    <row r="7" spans="1:7" x14ac:dyDescent="0.2">
      <c r="A7" s="1">
        <v>32000</v>
      </c>
      <c r="B7" s="1">
        <v>144.74299999999999</v>
      </c>
      <c r="C7" s="2">
        <v>5925620</v>
      </c>
      <c r="D7" s="1">
        <v>14.9658</v>
      </c>
      <c r="E7" s="1">
        <v>478905</v>
      </c>
      <c r="F7">
        <f t="shared" si="0"/>
        <v>347.49474586033404</v>
      </c>
      <c r="G7">
        <f t="shared" si="1"/>
        <v>12048431.674189074</v>
      </c>
    </row>
    <row r="8" spans="1:7" x14ac:dyDescent="0.2">
      <c r="A8" s="1">
        <v>64000</v>
      </c>
      <c r="B8" s="1">
        <v>148.352</v>
      </c>
      <c r="C8" s="2">
        <v>12305800</v>
      </c>
      <c r="D8" s="1">
        <v>15.9658</v>
      </c>
      <c r="E8" s="2">
        <v>1021810</v>
      </c>
      <c r="F8">
        <f t="shared" si="0"/>
        <v>370.71400215537568</v>
      </c>
      <c r="G8">
        <f t="shared" si="1"/>
        <v>25706994.015521113</v>
      </c>
    </row>
    <row r="9" spans="1:7" x14ac:dyDescent="0.2">
      <c r="A9" s="1">
        <v>128000</v>
      </c>
      <c r="B9" s="1">
        <v>183.768</v>
      </c>
      <c r="C9" s="2">
        <v>28270400</v>
      </c>
      <c r="D9" s="1">
        <v>16.965800000000002</v>
      </c>
      <c r="E9" s="2">
        <v>2171620</v>
      </c>
      <c r="F9">
        <f t="shared" si="0"/>
        <v>393.93325845041733</v>
      </c>
      <c r="G9">
        <f t="shared" si="1"/>
        <v>54634249.365328148</v>
      </c>
    </row>
    <row r="10" spans="1:7" x14ac:dyDescent="0.2">
      <c r="A10" s="1">
        <v>256000</v>
      </c>
      <c r="B10" s="1">
        <v>182.53899999999999</v>
      </c>
      <c r="C10" s="2">
        <v>58949200</v>
      </c>
      <c r="D10" s="1">
        <v>17.965800000000002</v>
      </c>
      <c r="E10" s="2">
        <v>4599240</v>
      </c>
      <c r="F10">
        <f t="shared" si="0"/>
        <v>417.15251474545897</v>
      </c>
      <c r="G10">
        <f t="shared" si="1"/>
        <v>115709021.39922816</v>
      </c>
    </row>
    <row r="11" spans="1:7" x14ac:dyDescent="0.2">
      <c r="A11" s="1">
        <v>512000</v>
      </c>
      <c r="B11" s="1">
        <v>192.12299999999999</v>
      </c>
      <c r="C11" s="2">
        <v>118686000</v>
      </c>
      <c r="D11" s="1">
        <v>18.965800000000002</v>
      </c>
      <c r="E11" s="2">
        <v>9710480</v>
      </c>
      <c r="F11">
        <f t="shared" si="0"/>
        <v>440.37177104050062</v>
      </c>
      <c r="G11">
        <f t="shared" si="1"/>
        <v>244299088.1356</v>
      </c>
    </row>
    <row r="12" spans="1:7" x14ac:dyDescent="0.2">
      <c r="A12" s="1">
        <v>1000000</v>
      </c>
      <c r="B12" s="1">
        <v>193.53</v>
      </c>
      <c r="C12" s="2">
        <v>251224000</v>
      </c>
      <c r="D12" s="1">
        <v>19.9316</v>
      </c>
      <c r="E12" s="2">
        <v>19931600</v>
      </c>
      <c r="F12">
        <f t="shared" si="0"/>
        <v>462.79692877025178</v>
      </c>
      <c r="G12">
        <f t="shared" si="1"/>
        <v>501445006.33166695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CHAVES LEON GABS</dc:creator>
  <cp:lastModifiedBy>CHAVES LEON GABS</cp:lastModifiedBy>
  <dcterms:created xsi:type="dcterms:W3CDTF">2026-10-03T02:32:37Z</dcterms:created>
  <dcterms:modified xsi:type="dcterms:W3CDTF">2026-10-03T07:20:12Z</dcterms:modified>
</cp:coreProperties>
</file>